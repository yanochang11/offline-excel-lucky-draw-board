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4095\Documents\Luckdraw_for_All\offline-excel-lucky-draw-board\"/>
    </mc:Choice>
  </mc:AlternateContent>
  <bookViews>
    <workbookView xWindow="0" yWindow="0" windowWidth="2748" windowHeight="0" activeTab="1"/>
  </bookViews>
  <sheets>
    <sheet name="得獎名單" sheetId="4" r:id="rId1"/>
    <sheet name="系統設定" sheetId="5" r:id="rId2"/>
    <sheet name="人員名單資料庫" sheetId="3" r:id="rId3"/>
  </sheets>
  <definedNames>
    <definedName name="_xlnm._FilterDatabase" localSheetId="2" hidden="1">人員名單資料庫!$A$1:$C$33</definedName>
  </definedNames>
  <calcPr calcId="162913"/>
</workbook>
</file>

<file path=xl/calcChain.xml><?xml version="1.0" encoding="utf-8"?>
<calcChain xmlns="http://schemas.openxmlformats.org/spreadsheetml/2006/main">
  <c r="E2" i="4" l="1"/>
  <c r="F2" i="4"/>
  <c r="E3" i="4"/>
  <c r="F3" i="4"/>
  <c r="E4" i="4"/>
  <c r="F4" i="4"/>
  <c r="E5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</calcChain>
</file>

<file path=xl/sharedStrings.xml><?xml version="1.0" encoding="utf-8"?>
<sst xmlns="http://schemas.openxmlformats.org/spreadsheetml/2006/main" count="250" uniqueCount="100">
  <si>
    <t>單位名稱</t>
  </si>
  <si>
    <t>員工編號</t>
  </si>
  <si>
    <t>中文姓名</t>
  </si>
  <si>
    <t>序號</t>
    <phoneticPr fontId="1" type="noConversion"/>
  </si>
  <si>
    <t>獎項</t>
    <phoneticPr fontId="1" type="noConversion"/>
  </si>
  <si>
    <t>工號</t>
    <phoneticPr fontId="1" type="noConversion"/>
  </si>
  <si>
    <t>姓名</t>
    <phoneticPr fontId="1" type="noConversion"/>
  </si>
  <si>
    <t>單位</t>
    <phoneticPr fontId="1" type="noConversion"/>
  </si>
  <si>
    <t>六獎-現金</t>
  </si>
  <si>
    <t>四獎</t>
    <phoneticPr fontId="1" type="noConversion"/>
  </si>
  <si>
    <t>三獎</t>
    <phoneticPr fontId="1" type="noConversion"/>
  </si>
  <si>
    <t>二獎</t>
    <phoneticPr fontId="1" type="noConversion"/>
  </si>
  <si>
    <t>頭獎</t>
    <phoneticPr fontId="1" type="noConversion"/>
  </si>
  <si>
    <t>金額</t>
    <phoneticPr fontId="1" type="noConversion"/>
  </si>
  <si>
    <t>A (設定項目)</t>
  </si>
  <si>
    <t>B (設定值)</t>
  </si>
  <si>
    <t>C (說明 - 選填)</t>
  </si>
  <si>
    <t>設定項目</t>
  </si>
  <si>
    <t>設定內容</t>
  </si>
  <si>
    <t>說明</t>
  </si>
  <si>
    <t>活動標題</t>
  </si>
  <si>
    <t>顯示在大螢幕最上方的標題</t>
  </si>
  <si>
    <t>滾動速度</t>
  </si>
  <si>
    <t>更新頻率</t>
  </si>
  <si>
    <t>幾秒鐘讀取一次檔案</t>
  </si>
  <si>
    <t>欄位-獎項</t>
  </si>
  <si>
    <t>獎項</t>
  </si>
  <si>
    <t>指定 Excel 裡的獎項欄位名稱</t>
  </si>
  <si>
    <t>欄位-姓名</t>
  </si>
  <si>
    <t>姓名</t>
  </si>
  <si>
    <t>指定 Excel 裡的姓名欄位名稱</t>
  </si>
  <si>
    <t>欄位-單位</t>
  </si>
  <si>
    <t>單位</t>
  </si>
  <si>
    <t>指定 Excel 裡的單位欄位名稱</t>
  </si>
  <si>
    <t>欄位-工號</t>
  </si>
  <si>
    <t>工號</t>
  </si>
  <si>
    <t>指定 Excel 裡的工號欄位名稱</t>
  </si>
  <si>
    <t>活動副標題</t>
    <phoneticPr fontId="1" type="noConversion"/>
  </si>
  <si>
    <t>馬到成功・開運大吉</t>
    <phoneticPr fontId="1" type="noConversion"/>
  </si>
  <si>
    <t>修改副標題</t>
    <phoneticPr fontId="1" type="noConversion"/>
  </si>
  <si>
    <t>001</t>
    <phoneticPr fontId="1" type="noConversion"/>
  </si>
  <si>
    <t>A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</si>
  <si>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</si>
  <si>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</si>
  <si>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</si>
  <si>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</si>
  <si>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</si>
  <si>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</si>
  <si>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</si>
  <si>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</si>
  <si>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</si>
  <si>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</si>
  <si>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</si>
  <si>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</si>
  <si>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</si>
  <si>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</si>
  <si>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</si>
  <si>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</si>
  <si>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</si>
  <si>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</si>
  <si>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</si>
  <si>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</si>
  <si>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</si>
  <si>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</si>
  <si>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</si>
  <si>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</si>
  <si>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</si>
  <si>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</si>
  <si>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</si>
  <si>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</si>
  <si>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</si>
  <si>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</si>
  <si>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</si>
  <si>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B</t>
    <phoneticPr fontId="1" type="noConversion"/>
  </si>
  <si>
    <t>C</t>
    <phoneticPr fontId="1" type="noConversion"/>
  </si>
  <si>
    <t>A01</t>
    <phoneticPr fontId="1" type="noConversion"/>
  </si>
  <si>
    <t>A02</t>
  </si>
  <si>
    <t>A02</t>
    <phoneticPr fontId="1" type="noConversion"/>
  </si>
  <si>
    <t>B02</t>
  </si>
  <si>
    <t>B02</t>
    <phoneticPr fontId="1" type="noConversion"/>
  </si>
  <si>
    <t>C01</t>
    <phoneticPr fontId="1" type="noConversion"/>
  </si>
  <si>
    <t>B01</t>
    <phoneticPr fontId="1" type="noConversion"/>
  </si>
  <si>
    <t>C02</t>
  </si>
  <si>
    <t>C02</t>
    <phoneticPr fontId="1" type="noConversion"/>
  </si>
  <si>
    <t>A03</t>
  </si>
  <si>
    <t>B03</t>
  </si>
  <si>
    <t>C03</t>
  </si>
  <si>
    <t>A04</t>
  </si>
  <si>
    <t>B04</t>
  </si>
  <si>
    <t>C04</t>
  </si>
  <si>
    <t>A05</t>
  </si>
  <si>
    <t>B05</t>
  </si>
  <si>
    <t>C05</t>
  </si>
  <si>
    <t>A06</t>
  </si>
  <si>
    <t>B06</t>
  </si>
  <si>
    <t>C06</t>
  </si>
  <si>
    <t>002</t>
    <phoneticPr fontId="1" type="noConversion"/>
  </si>
  <si>
    <t>003</t>
    <phoneticPr fontId="1" type="noConversion"/>
  </si>
  <si>
    <r>
      <rPr>
        <sz val="10"/>
        <color rgb="FF1F1F1F"/>
        <rFont val="Arial"/>
        <family val="3"/>
        <charset val="136"/>
        <scheme val="minor"/>
      </rPr>
      <t>數字越大滾越快</t>
    </r>
    <r>
      <rPr>
        <sz val="10"/>
        <color rgb="FF1F1F1F"/>
        <rFont val="Arial"/>
        <family val="2"/>
        <scheme val="minor"/>
      </rPr>
      <t xml:space="preserve"> (</t>
    </r>
    <r>
      <rPr>
        <sz val="10"/>
        <color rgb="FF1F1F1F"/>
        <rFont val="Arial"/>
        <family val="3"/>
        <charset val="136"/>
        <scheme val="minor"/>
      </rPr>
      <t>建議</t>
    </r>
    <r>
      <rPr>
        <sz val="10"/>
        <color rgb="FF1F1F1F"/>
        <rFont val="Arial"/>
        <family val="2"/>
        <scheme val="minor"/>
      </rPr>
      <t xml:space="preserve"> 0.5 ~ 3.0)</t>
    </r>
    <phoneticPr fontId="1" type="noConversion"/>
  </si>
  <si>
    <r>
      <t xml:space="preserve">2026 
</t>
    </r>
    <r>
      <rPr>
        <sz val="10"/>
        <color rgb="FF1F1F1F"/>
        <rFont val="Arial"/>
        <family val="3"/>
        <charset val="136"/>
        <scheme val="minor"/>
      </rPr>
      <t>尾牙摸彩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</si>
</sst>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1F1F1F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0" fillId="0" borderId="0" xfId="0" applyFont="1" applyFill="1" applyAlignment="1"/>
    <xf numFmtId="0" fontId="0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 wrapText="1" readingOrder="1"/>
    </xf>
    <xf numFmtId="0" fontId="0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center" vertical="center" wrapText="1" readingOrder="1"/>
    </xf>
    <xf numFmtId="0" fontId="7" fillId="0" borderId="8" xfId="0" applyFont="1" applyBorder="1" applyAlignment="1">
      <alignment horizontal="center" vertical="center" wrapText="1" readingOrder="1"/>
    </xf>
    <xf numFmtId="49" fontId="3" fillId="0" borderId="0" xfId="0" applyNumberFormat="1" applyFont="1" applyFill="1" applyAlignment="1"/>
    <xf numFmtId="0" fontId="3" fillId="0" borderId="0" xfId="0" applyFont="1" applyFill="1" applyAlignment="1"/>
    <xf numFmtId="49" fontId="2" fillId="0" borderId="4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一般" xfId="0" builtinId="0"/>
  </cellStyles>
  <dxfs count="2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textRotation="0" indent="0" justifyLastLine="0" shrinkToFit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minor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00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表單回應 1-style" pivot="0" count="4">
      <tableStyleElement type="wholeTable" size="0" dxfId="27"/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表格2" displayName="表格2" ref="A1:F86" totalsRowShown="0" headerRowDxfId="22" dataDxfId="20" headerRowBorderDxfId="21" tableBorderDxfId="19" totalsRowBorderDxfId="18">
  <autoFilter ref="A1:F86"/>
  <tableColumns count="6">
    <tableColumn id="1" name="序號" dataDxfId="17"/>
    <tableColumn id="2" name="獎項" dataDxfId="16"/>
    <tableColumn id="3" name="金額" dataDxfId="15"/>
    <tableColumn id="4" name="工號" dataDxfId="14"/>
    <tableColumn id="5" name="姓名" dataDxfId="13">
      <calculatedColumnFormula>IFERROR(VLOOKUP(得獎名單!D2,人員名單資料庫!$A$2:$C$33,3,FALSE),"")</calculatedColumnFormula>
    </tableColumn>
    <tableColumn id="6" name="單位" dataDxfId="12">
      <calculatedColumnFormula>IFERROR(VLOOKUP(得獎名單!D2,人員名單資料庫!$A$2:$C$33,2,FALSE),"")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1" name="表格1" displayName="表格1" ref="A1:C10" totalsRowShown="0" headerRowDxfId="11" dataDxfId="9" headerRowBorderDxfId="10" tableBorderDxfId="8" totalsRowBorderDxfId="7">
  <autoFilter ref="A1:C10"/>
  <tableColumns count="3">
    <tableColumn id="2" name="A (設定項目)" dataDxfId="6"/>
    <tableColumn id="3" name="B (設定值)" dataDxfId="5"/>
    <tableColumn id="4" name="C (說明 - 選填)" dataDxfId="4"/>
  </tableColumns>
  <tableStyleInfo name="表單回應 1-style" showFirstColumn="0" showLastColumn="0" showRowStripes="1" showColumnStripes="0"/>
</table>
</file>

<file path=xl/tables/table3.xml><?xml version="1.0" encoding="utf-8"?>
<table xmlns="http://schemas.openxmlformats.org/spreadsheetml/2006/main" id="3" name="表格3" displayName="表格3" ref="A1:C33" totalsRowShown="0" dataDxfId="3">
  <autoFilter ref="A1:C33"/>
  <tableColumns count="3">
    <tableColumn id="1" name="員工編號" dataDxfId="2"/>
    <tableColumn id="2" name="單位名稱" dataDxfId="1"/>
    <tableColumn id="3" name="中文姓名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>
      <selection activeCell="E24" sqref="E24"/>
    </sheetView>
  </sheetViews>
  <sheetFormatPr defaultRowHeight="13.2" x14ac:dyDescent="0.25"/>
  <cols>
    <col min="1" max="1" width="6.6640625" style="2" customWidth="1"/>
    <col min="2" max="2" width="13.109375" style="2" bestFit="1" customWidth="1"/>
    <col min="3" max="3" width="6.6640625" style="2" customWidth="1"/>
    <col min="4" max="4" width="8.88671875" style="22"/>
    <col min="5" max="6" width="12.21875" style="2" customWidth="1"/>
    <col min="7" max="16384" width="8.88671875" style="2"/>
  </cols>
  <sheetData>
    <row r="1" spans="1:6" x14ac:dyDescent="0.25">
      <c r="A1" s="3" t="s">
        <v>3</v>
      </c>
      <c r="B1" s="4" t="s">
        <v>4</v>
      </c>
      <c r="C1" s="4" t="s">
        <v>13</v>
      </c>
      <c r="D1" s="21" t="s">
        <v>5</v>
      </c>
      <c r="E1" s="4" t="s">
        <v>6</v>
      </c>
      <c r="F1" s="5" t="s">
        <v>7</v>
      </c>
    </row>
    <row r="2" spans="1:6" x14ac:dyDescent="0.25">
      <c r="A2" s="23">
        <v>1</v>
      </c>
      <c r="B2" s="24" t="s">
        <v>8</v>
      </c>
      <c r="C2" s="24">
        <v>2000</v>
      </c>
      <c r="D2" s="25" t="s">
        <v>40</v>
      </c>
      <c r="E2" s="6" t="str">
        <f>IFERROR(VLOOKUP(得獎名單!D2,人員名單資料庫!$A$2:$C$33,3,FALSE),"")</f>
        <v>A01</v>
      </c>
      <c r="F2" s="7" t="str">
        <f>IFERROR(VLOOKUP(得獎名單!D2,人員名單資料庫!$A$2:$C$33,2,FALSE),"")</f>
        <v>A</v>
      </c>
    </row>
    <row r="3" spans="1:6" x14ac:dyDescent="0.25">
      <c r="A3" s="23">
        <v>2</v>
      </c>
      <c r="B3" s="24" t="s">
        <v>8</v>
      </c>
      <c r="C3" s="24">
        <v>2000</v>
      </c>
      <c r="D3" s="25" t="s">
        <v>96</v>
      </c>
      <c r="E3" s="6" t="str">
        <f>IFERROR(VLOOKUP(得獎名單!D3,人員名單資料庫!$A$2:$C$33,3,FALSE),"")</f>
        <v>B01</v>
      </c>
      <c r="F3" s="7" t="str">
        <f>IFERROR(VLOOKUP(得獎名單!D3,人員名單資料庫!$A$2:$C$33,2,FALSE),"")</f>
        <v>B</v>
      </c>
    </row>
    <row r="4" spans="1:6" x14ac:dyDescent="0.25">
      <c r="A4" s="23">
        <v>3</v>
      </c>
      <c r="B4" s="24" t="s">
        <v>8</v>
      </c>
      <c r="C4" s="24">
        <v>2000</v>
      </c>
      <c r="D4" s="25" t="s">
        <v>97</v>
      </c>
      <c r="E4" s="6" t="str">
        <f>IFERROR(VLOOKUP(得獎名單!D4,人員名單資料庫!$A$2:$C$33,3,FALSE),"")</f>
        <v>C01</v>
      </c>
      <c r="F4" s="7" t="str">
        <f>IFERROR(VLOOKUP(得獎名單!D4,人員名單資料庫!$A$2:$C$33,2,FALSE),"")</f>
        <v>C</v>
      </c>
    </row>
    <row r="5" spans="1:6" x14ac:dyDescent="0.25">
      <c r="A5" s="23">
        <v>4</v>
      </c>
      <c r="B5" s="24" t="s">
        <v>8</v>
      </c>
      <c r="C5" s="24">
        <v>2000</v>
      </c>
      <c r="D5" s="19" t="s">
        <v>65</v>
      </c>
      <c r="E5" s="6" t="str">
        <f>IFERROR(VLOOKUP(得獎名單!D5,人員名單資料庫!$A$2:$C$33,3,FALSE),"")</f>
        <v>A05</v>
      </c>
      <c r="F5" s="7" t="str">
        <f>IFERROR(VLOOKUP(得獎名單!D5,人員名單資料庫!$A$2:$C$33,2,FALSE),"")</f>
        <v>A</v>
      </c>
    </row>
    <row r="6" spans="1:6" x14ac:dyDescent="0.25">
      <c r="A6" s="23">
        <v>5</v>
      </c>
      <c r="B6" s="24" t="s">
        <v>8</v>
      </c>
      <c r="C6" s="24">
        <v>2000</v>
      </c>
      <c r="D6" s="19" t="s">
        <v>66</v>
      </c>
      <c r="E6" s="6" t="str">
        <f>IFERROR(VLOOKUP(得獎名單!D6,人員名單資料庫!$A$2:$C$33,3,FALSE),"")</f>
        <v>B05</v>
      </c>
      <c r="F6" s="7" t="str">
        <f>IFERROR(VLOOKUP(得獎名單!D6,人員名單資料庫!$A$2:$C$33,2,FALSE),"")</f>
        <v>B</v>
      </c>
    </row>
    <row r="7" spans="1:6" x14ac:dyDescent="0.25">
      <c r="A7" s="23">
        <v>6</v>
      </c>
      <c r="B7" s="24" t="s">
        <v>8</v>
      </c>
      <c r="C7" s="24">
        <v>2000</v>
      </c>
      <c r="D7" s="19" t="s">
        <v>67</v>
      </c>
      <c r="E7" s="6" t="str">
        <f>IFERROR(VLOOKUP(得獎名單!D7,人員名單資料庫!$A$2:$C$33,3,FALSE),"")</f>
        <v>C05</v>
      </c>
      <c r="F7" s="7" t="str">
        <f>IFERROR(VLOOKUP(得獎名單!D7,人員名單資料庫!$A$2:$C$33,2,FALSE),"")</f>
        <v>C</v>
      </c>
    </row>
    <row r="8" spans="1:6" x14ac:dyDescent="0.25">
      <c r="A8" s="23">
        <v>7</v>
      </c>
      <c r="B8" s="24" t="s">
        <v>8</v>
      </c>
      <c r="C8" s="24">
        <v>2000</v>
      </c>
      <c r="D8" s="19" t="s">
        <v>68</v>
      </c>
      <c r="E8" s="6" t="str">
        <f>IFERROR(VLOOKUP(得獎名單!D8,人員名單資料庫!$A$2:$C$33,3,FALSE),"")</f>
        <v>A06</v>
      </c>
      <c r="F8" s="7" t="str">
        <f>IFERROR(VLOOKUP(得獎名單!D8,人員名單資料庫!$A$2:$C$33,2,FALSE),"")</f>
        <v>A</v>
      </c>
    </row>
    <row r="9" spans="1:6" x14ac:dyDescent="0.25">
      <c r="A9" s="23">
        <v>8</v>
      </c>
      <c r="B9" s="24" t="s">
        <v>8</v>
      </c>
      <c r="C9" s="24">
        <v>2000</v>
      </c>
      <c r="D9" s="19" t="s">
        <v>69</v>
      </c>
      <c r="E9" s="6" t="str">
        <f>IFERROR(VLOOKUP(得獎名單!D9,人員名單資料庫!$A$2:$C$33,3,FALSE),"")</f>
        <v>B06</v>
      </c>
      <c r="F9" s="7" t="str">
        <f>IFERROR(VLOOKUP(得獎名單!D9,人員名單資料庫!$A$2:$C$33,2,FALSE),"")</f>
        <v>B</v>
      </c>
    </row>
    <row r="10" spans="1:6" x14ac:dyDescent="0.25">
      <c r="A10" s="23">
        <v>9</v>
      </c>
      <c r="B10" s="24" t="s">
        <v>8</v>
      </c>
      <c r="C10" s="24">
        <v>2000</v>
      </c>
      <c r="D10" s="19" t="s">
        <v>70</v>
      </c>
      <c r="E10" s="6" t="str">
        <f>IFERROR(VLOOKUP(得獎名單!D10,人員名單資料庫!$A$2:$C$33,3,FALSE),"")</f>
        <v>C06</v>
      </c>
      <c r="F10" s="7" t="str">
        <f>IFERROR(VLOOKUP(得獎名單!D10,人員名單資料庫!$A$2:$C$33,2,FALSE),"")</f>
        <v>C</v>
      </c>
    </row>
    <row r="11" spans="1:6" x14ac:dyDescent="0.25">
      <c r="A11" s="23">
        <v>10</v>
      </c>
      <c r="B11" s="24" t="s">
        <v>8</v>
      </c>
      <c r="C11" s="24">
        <v>2000</v>
      </c>
      <c r="D11" s="19" t="s">
        <v>71</v>
      </c>
      <c r="E11" s="6" t="str">
        <f>IFERROR(VLOOKUP(得獎名單!D11,人員名單資料庫!$A$2:$C$33,3,FALSE),"")</f>
        <v>A06</v>
      </c>
      <c r="F11" s="7" t="str">
        <f>IFERROR(VLOOKUP(得獎名單!D11,人員名單資料庫!$A$2:$C$33,2,FALSE),"")</f>
        <v>A</v>
      </c>
    </row>
    <row r="12" spans="1:6" x14ac:dyDescent="0.25">
      <c r="A12" s="23">
        <v>11</v>
      </c>
      <c r="B12" s="24" t="s">
        <v>8</v>
      </c>
      <c r="C12" s="24">
        <v>2000</v>
      </c>
      <c r="D12" s="19" t="s">
        <v>72</v>
      </c>
      <c r="E12" s="6" t="str">
        <f>IFERROR(VLOOKUP(得獎名單!D12,人員名單資料庫!$A$2:$C$33,3,FALSE),"")</f>
        <v>B06</v>
      </c>
      <c r="F12" s="7" t="str">
        <f>IFERROR(VLOOKUP(得獎名單!D12,人員名單資料庫!$A$2:$C$33,2,FALSE),"")</f>
        <v>B</v>
      </c>
    </row>
    <row r="13" spans="1:6" x14ac:dyDescent="0.25">
      <c r="A13" s="23">
        <v>12</v>
      </c>
      <c r="B13" s="24" t="s">
        <v>8</v>
      </c>
      <c r="C13" s="24">
        <v>2000</v>
      </c>
      <c r="D13" s="25"/>
      <c r="E13" s="6" t="str">
        <f>IFERROR(VLOOKUP(得獎名單!D13,人員名單資料庫!$A$2:$C$33,3,FALSE),"")</f>
        <v/>
      </c>
      <c r="F13" s="7" t="str">
        <f>IFERROR(VLOOKUP(得獎名單!D13,人員名單資料庫!$A$2:$C$33,2,FALSE),"")</f>
        <v/>
      </c>
    </row>
    <row r="14" spans="1:6" x14ac:dyDescent="0.25">
      <c r="A14" s="23">
        <v>13</v>
      </c>
      <c r="B14" s="24" t="s">
        <v>8</v>
      </c>
      <c r="C14" s="24">
        <v>2000</v>
      </c>
      <c r="D14" s="25"/>
      <c r="E14" s="6" t="str">
        <f>IFERROR(VLOOKUP(得獎名單!D14,人員名單資料庫!$A$2:$C$33,3,FALSE),"")</f>
        <v/>
      </c>
      <c r="F14" s="7" t="str">
        <f>IFERROR(VLOOKUP(得獎名單!D14,人員名單資料庫!$A$2:$C$33,2,FALSE),"")</f>
        <v/>
      </c>
    </row>
    <row r="15" spans="1:6" x14ac:dyDescent="0.25">
      <c r="A15" s="23">
        <v>14</v>
      </c>
      <c r="B15" s="24" t="s">
        <v>8</v>
      </c>
      <c r="C15" s="24">
        <v>2000</v>
      </c>
      <c r="D15" s="25"/>
      <c r="E15" s="6" t="str">
        <f>IFERROR(VLOOKUP(得獎名單!D15,人員名單資料庫!$A$2:$C$33,3,FALSE),"")</f>
        <v/>
      </c>
      <c r="F15" s="7" t="str">
        <f>IFERROR(VLOOKUP(得獎名單!D15,人員名單資料庫!$A$2:$C$33,2,FALSE),"")</f>
        <v/>
      </c>
    </row>
    <row r="16" spans="1:6" x14ac:dyDescent="0.25">
      <c r="A16" s="23">
        <v>15</v>
      </c>
      <c r="B16" s="24" t="s">
        <v>8</v>
      </c>
      <c r="C16" s="24">
        <v>2000</v>
      </c>
      <c r="D16" s="25"/>
      <c r="E16" s="6" t="str">
        <f>IFERROR(VLOOKUP(得獎名單!D16,人員名單資料庫!$A$2:$C$33,3,FALSE),"")</f>
        <v/>
      </c>
      <c r="F16" s="7" t="str">
        <f>IFERROR(VLOOKUP(得獎名單!D16,人員名單資料庫!$A$2:$C$33,2,FALSE),"")</f>
        <v/>
      </c>
    </row>
    <row r="17" spans="1:6" x14ac:dyDescent="0.25">
      <c r="A17" s="23">
        <v>16</v>
      </c>
      <c r="B17" s="24" t="s">
        <v>8</v>
      </c>
      <c r="C17" s="24">
        <v>2000</v>
      </c>
      <c r="D17" s="25"/>
      <c r="E17" s="6" t="str">
        <f>IFERROR(VLOOKUP(得獎名單!D17,人員名單資料庫!$A$2:$C$33,3,FALSE),"")</f>
        <v/>
      </c>
      <c r="F17" s="7" t="str">
        <f>IFERROR(VLOOKUP(得獎名單!D17,人員名單資料庫!$A$2:$C$33,2,FALSE),"")</f>
        <v/>
      </c>
    </row>
    <row r="18" spans="1:6" x14ac:dyDescent="0.25">
      <c r="A18" s="23">
        <v>17</v>
      </c>
      <c r="B18" s="24" t="s">
        <v>8</v>
      </c>
      <c r="C18" s="24">
        <v>2000</v>
      </c>
      <c r="D18" s="25"/>
      <c r="E18" s="6" t="str">
        <f>IFERROR(VLOOKUP(得獎名單!D18,人員名單資料庫!$A$2:$C$33,3,FALSE),"")</f>
        <v/>
      </c>
      <c r="F18" s="7" t="str">
        <f>IFERROR(VLOOKUP(得獎名單!D18,人員名單資料庫!$A$2:$C$33,2,FALSE),"")</f>
        <v/>
      </c>
    </row>
    <row r="19" spans="1:6" x14ac:dyDescent="0.25">
      <c r="A19" s="23">
        <v>18</v>
      </c>
      <c r="B19" s="24" t="s">
        <v>8</v>
      </c>
      <c r="C19" s="24">
        <v>2000</v>
      </c>
      <c r="D19" s="25"/>
      <c r="E19" s="6" t="str">
        <f>IFERROR(VLOOKUP(得獎名單!D19,人員名單資料庫!$A$2:$C$33,3,FALSE),"")</f>
        <v/>
      </c>
      <c r="F19" s="7" t="str">
        <f>IFERROR(VLOOKUP(得獎名單!D19,人員名單資料庫!$A$2:$C$33,2,FALSE),"")</f>
        <v/>
      </c>
    </row>
    <row r="20" spans="1:6" x14ac:dyDescent="0.25">
      <c r="A20" s="23">
        <v>19</v>
      </c>
      <c r="B20" s="24" t="s">
        <v>8</v>
      </c>
      <c r="C20" s="24">
        <v>2000</v>
      </c>
      <c r="D20" s="25"/>
      <c r="E20" s="6" t="str">
        <f>IFERROR(VLOOKUP(得獎名單!D20,人員名單資料庫!$A$2:$C$33,3,FALSE),"")</f>
        <v/>
      </c>
      <c r="F20" s="7" t="str">
        <f>IFERROR(VLOOKUP(得獎名單!D20,人員名單資料庫!$A$2:$C$33,2,FALSE),"")</f>
        <v/>
      </c>
    </row>
    <row r="21" spans="1:6" x14ac:dyDescent="0.25">
      <c r="A21" s="23">
        <v>20</v>
      </c>
      <c r="B21" s="24" t="s">
        <v>8</v>
      </c>
      <c r="C21" s="24">
        <v>2000</v>
      </c>
      <c r="D21" s="25"/>
      <c r="E21" s="6" t="str">
        <f>IFERROR(VLOOKUP(得獎名單!D21,人員名單資料庫!$A$2:$C$33,3,FALSE),"")</f>
        <v/>
      </c>
      <c r="F21" s="7" t="str">
        <f>IFERROR(VLOOKUP(得獎名單!D21,人員名單資料庫!$A$2:$C$33,2,FALSE),"")</f>
        <v/>
      </c>
    </row>
    <row r="22" spans="1:6" x14ac:dyDescent="0.25">
      <c r="A22" s="23">
        <v>21</v>
      </c>
      <c r="B22" s="24" t="s">
        <v>8</v>
      </c>
      <c r="C22" s="24">
        <v>2000</v>
      </c>
      <c r="D22" s="25"/>
      <c r="E22" s="6" t="str">
        <f>IFERROR(VLOOKUP(得獎名單!D22,人員名單資料庫!$A$2:$C$33,3,FALSE),"")</f>
        <v/>
      </c>
      <c r="F22" s="7" t="str">
        <f>IFERROR(VLOOKUP(得獎名單!D22,人員名單資料庫!$A$2:$C$33,2,FALSE),"")</f>
        <v/>
      </c>
    </row>
    <row r="23" spans="1:6" x14ac:dyDescent="0.25">
      <c r="A23" s="23">
        <v>22</v>
      </c>
      <c r="B23" s="24" t="s">
        <v>8</v>
      </c>
      <c r="C23" s="24">
        <v>2000</v>
      </c>
      <c r="D23" s="25"/>
      <c r="E23" s="6" t="str">
        <f>IFERROR(VLOOKUP(得獎名單!D23,人員名單資料庫!$A$2:$C$33,3,FALSE),"")</f>
        <v/>
      </c>
      <c r="F23" s="7" t="str">
        <f>IFERROR(VLOOKUP(得獎名單!D23,人員名單資料庫!$A$2:$C$33,2,FALSE),"")</f>
        <v/>
      </c>
    </row>
    <row r="24" spans="1:6" x14ac:dyDescent="0.25">
      <c r="A24" s="23">
        <v>23</v>
      </c>
      <c r="B24" s="24" t="s">
        <v>8</v>
      </c>
      <c r="C24" s="24">
        <v>2000</v>
      </c>
      <c r="D24" s="25"/>
      <c r="E24" s="6" t="str">
        <f>IFERROR(VLOOKUP(得獎名單!D24,人員名單資料庫!$A$2:$C$33,3,FALSE),"")</f>
        <v/>
      </c>
      <c r="F24" s="7" t="str">
        <f>IFERROR(VLOOKUP(得獎名單!D24,人員名單資料庫!$A$2:$C$33,2,FALSE),"")</f>
        <v/>
      </c>
    </row>
    <row r="25" spans="1:6" x14ac:dyDescent="0.25">
      <c r="A25" s="23">
        <v>24</v>
      </c>
      <c r="B25" s="24" t="s">
        <v>8</v>
      </c>
      <c r="C25" s="24">
        <v>2000</v>
      </c>
      <c r="D25" s="25"/>
      <c r="E25" s="6" t="str">
        <f>IFERROR(VLOOKUP(得獎名單!D25,人員名單資料庫!$A$2:$C$33,3,FALSE),"")</f>
        <v/>
      </c>
      <c r="F25" s="7" t="str">
        <f>IFERROR(VLOOKUP(得獎名單!D25,人員名單資料庫!$A$2:$C$33,2,FALSE),"")</f>
        <v/>
      </c>
    </row>
    <row r="26" spans="1:6" x14ac:dyDescent="0.25">
      <c r="A26" s="23">
        <v>25</v>
      </c>
      <c r="B26" s="24" t="s">
        <v>8</v>
      </c>
      <c r="C26" s="24">
        <v>2000</v>
      </c>
      <c r="D26" s="25"/>
      <c r="E26" s="6" t="str">
        <f>IFERROR(VLOOKUP(得獎名單!D26,人員名單資料庫!$A$2:$C$33,3,FALSE),"")</f>
        <v/>
      </c>
      <c r="F26" s="7" t="str">
        <f>IFERROR(VLOOKUP(得獎名單!D26,人員名單資料庫!$A$2:$C$33,2,FALSE),"")</f>
        <v/>
      </c>
    </row>
    <row r="27" spans="1:6" x14ac:dyDescent="0.25">
      <c r="A27" s="23">
        <v>26</v>
      </c>
      <c r="B27" s="24" t="s">
        <v>8</v>
      </c>
      <c r="C27" s="24">
        <v>2000</v>
      </c>
      <c r="D27" s="25"/>
      <c r="E27" s="6" t="str">
        <f>IFERROR(VLOOKUP(得獎名單!D27,人員名單資料庫!$A$2:$C$33,3,FALSE),"")</f>
        <v/>
      </c>
      <c r="F27" s="7" t="str">
        <f>IFERROR(VLOOKUP(得獎名單!D27,人員名單資料庫!$A$2:$C$33,2,FALSE),"")</f>
        <v/>
      </c>
    </row>
    <row r="28" spans="1:6" x14ac:dyDescent="0.25">
      <c r="A28" s="23">
        <v>27</v>
      </c>
      <c r="B28" s="24" t="s">
        <v>8</v>
      </c>
      <c r="C28" s="24">
        <v>2000</v>
      </c>
      <c r="D28" s="25"/>
      <c r="E28" s="6" t="str">
        <f>IFERROR(VLOOKUP(得獎名單!D28,人員名單資料庫!$A$2:$C$33,3,FALSE),"")</f>
        <v/>
      </c>
      <c r="F28" s="7" t="str">
        <f>IFERROR(VLOOKUP(得獎名單!D28,人員名單資料庫!$A$2:$C$33,2,FALSE),"")</f>
        <v/>
      </c>
    </row>
    <row r="29" spans="1:6" x14ac:dyDescent="0.25">
      <c r="A29" s="23">
        <v>28</v>
      </c>
      <c r="B29" s="24" t="s">
        <v>8</v>
      </c>
      <c r="C29" s="24">
        <v>2000</v>
      </c>
      <c r="D29" s="25"/>
      <c r="E29" s="6" t="str">
        <f>IFERROR(VLOOKUP(得獎名單!D29,人員名單資料庫!$A$2:$C$33,3,FALSE),"")</f>
        <v/>
      </c>
      <c r="F29" s="7" t="str">
        <f>IFERROR(VLOOKUP(得獎名單!D29,人員名單資料庫!$A$2:$C$33,2,FALSE),"")</f>
        <v/>
      </c>
    </row>
    <row r="30" spans="1:6" x14ac:dyDescent="0.25">
      <c r="A30" s="23">
        <v>29</v>
      </c>
      <c r="B30" s="24" t="s">
        <v>8</v>
      </c>
      <c r="C30" s="24">
        <v>2000</v>
      </c>
      <c r="D30" s="25"/>
      <c r="E30" s="6" t="str">
        <f>IFERROR(VLOOKUP(得獎名單!D30,人員名單資料庫!$A$2:$C$33,3,FALSE),"")</f>
        <v/>
      </c>
      <c r="F30" s="7" t="str">
        <f>IFERROR(VLOOKUP(得獎名單!D30,人員名單資料庫!$A$2:$C$33,2,FALSE),"")</f>
        <v/>
      </c>
    </row>
    <row r="31" spans="1:6" x14ac:dyDescent="0.25">
      <c r="A31" s="23">
        <v>30</v>
      </c>
      <c r="B31" s="24" t="s">
        <v>8</v>
      </c>
      <c r="C31" s="24">
        <v>2000</v>
      </c>
      <c r="D31" s="25"/>
      <c r="E31" s="6" t="str">
        <f>IFERROR(VLOOKUP(得獎名單!D31,人員名單資料庫!$A$2:$C$33,3,FALSE),"")</f>
        <v/>
      </c>
      <c r="F31" s="7" t="str">
        <f>IFERROR(VLOOKUP(得獎名單!D31,人員名單資料庫!$A$2:$C$33,2,FALSE),"")</f>
        <v/>
      </c>
    </row>
    <row r="32" spans="1:6" x14ac:dyDescent="0.25">
      <c r="A32" s="23">
        <v>31</v>
      </c>
      <c r="B32" s="24" t="s">
        <v>8</v>
      </c>
      <c r="C32" s="24">
        <v>2000</v>
      </c>
      <c r="D32" s="25"/>
      <c r="E32" s="6" t="str">
        <f>IFERROR(VLOOKUP(得獎名單!D32,人員名單資料庫!$A$2:$C$33,3,FALSE),"")</f>
        <v/>
      </c>
      <c r="F32" s="7" t="str">
        <f>IFERROR(VLOOKUP(得獎名單!D32,人員名單資料庫!$A$2:$C$33,2,FALSE),"")</f>
        <v/>
      </c>
    </row>
    <row r="33" spans="1:6" x14ac:dyDescent="0.25">
      <c r="A33" s="23">
        <v>32</v>
      </c>
      <c r="B33" s="24" t="s">
        <v>8</v>
      </c>
      <c r="C33" s="24">
        <v>2000</v>
      </c>
      <c r="D33" s="25"/>
      <c r="E33" s="6" t="str">
        <f>IFERROR(VLOOKUP(得獎名單!D33,人員名單資料庫!$A$2:$C$33,3,FALSE),"")</f>
        <v/>
      </c>
      <c r="F33" s="7" t="str">
        <f>IFERROR(VLOOKUP(得獎名單!D33,人員名單資料庫!$A$2:$C$33,2,FALSE),"")</f>
        <v/>
      </c>
    </row>
    <row r="34" spans="1:6" x14ac:dyDescent="0.25">
      <c r="A34" s="23">
        <v>33</v>
      </c>
      <c r="B34" s="24" t="s">
        <v>8</v>
      </c>
      <c r="C34" s="24">
        <v>2000</v>
      </c>
      <c r="D34" s="25"/>
      <c r="E34" s="6" t="str">
        <f>IFERROR(VLOOKUP(得獎名單!D34,人員名單資料庫!$A$2:$C$33,3,FALSE),"")</f>
        <v/>
      </c>
      <c r="F34" s="7" t="str">
        <f>IFERROR(VLOOKUP(得獎名單!D34,人員名單資料庫!$A$2:$C$33,2,FALSE),"")</f>
        <v/>
      </c>
    </row>
    <row r="35" spans="1:6" x14ac:dyDescent="0.25">
      <c r="A35" s="23">
        <v>34</v>
      </c>
      <c r="B35" s="24" t="s">
        <v>8</v>
      </c>
      <c r="C35" s="24">
        <v>2000</v>
      </c>
      <c r="D35" s="25"/>
      <c r="E35" s="6" t="str">
        <f>IFERROR(VLOOKUP(得獎名單!D35,人員名單資料庫!$A$2:$C$33,3,FALSE),"")</f>
        <v/>
      </c>
      <c r="F35" s="7" t="str">
        <f>IFERROR(VLOOKUP(得獎名單!D35,人員名單資料庫!$A$2:$C$33,2,FALSE),"")</f>
        <v/>
      </c>
    </row>
    <row r="36" spans="1:6" x14ac:dyDescent="0.25">
      <c r="A36" s="23">
        <v>35</v>
      </c>
      <c r="B36" s="24" t="s">
        <v>8</v>
      </c>
      <c r="C36" s="24">
        <v>2000</v>
      </c>
      <c r="D36" s="25"/>
      <c r="E36" s="6" t="str">
        <f>IFERROR(VLOOKUP(得獎名單!D36,人員名單資料庫!$A$2:$C$33,3,FALSE),"")</f>
        <v/>
      </c>
      <c r="F36" s="7" t="str">
        <f>IFERROR(VLOOKUP(得獎名單!D36,人員名單資料庫!$A$2:$C$33,2,FALSE),"")</f>
        <v/>
      </c>
    </row>
    <row r="37" spans="1:6" x14ac:dyDescent="0.25">
      <c r="A37" s="23">
        <v>36</v>
      </c>
      <c r="B37" s="24" t="s">
        <v>8</v>
      </c>
      <c r="C37" s="24">
        <v>2000</v>
      </c>
      <c r="D37" s="25"/>
      <c r="E37" s="6" t="str">
        <f>IFERROR(VLOOKUP(得獎名單!D37,人員名單資料庫!$A$2:$C$33,3,FALSE),"")</f>
        <v/>
      </c>
      <c r="F37" s="7" t="str">
        <f>IFERROR(VLOOKUP(得獎名單!D37,人員名單資料庫!$A$2:$C$33,2,FALSE),"")</f>
        <v/>
      </c>
    </row>
    <row r="38" spans="1:6" x14ac:dyDescent="0.25">
      <c r="A38" s="23">
        <v>37</v>
      </c>
      <c r="B38" s="24" t="s">
        <v>8</v>
      </c>
      <c r="C38" s="24">
        <v>2000</v>
      </c>
      <c r="D38" s="25"/>
      <c r="E38" s="6" t="str">
        <f>IFERROR(VLOOKUP(得獎名單!D38,人員名單資料庫!$A$2:$C$33,3,FALSE),"")</f>
        <v/>
      </c>
      <c r="F38" s="7" t="str">
        <f>IFERROR(VLOOKUP(得獎名單!D38,人員名單資料庫!$A$2:$C$33,2,FALSE),"")</f>
        <v/>
      </c>
    </row>
    <row r="39" spans="1:6" x14ac:dyDescent="0.25">
      <c r="A39" s="23">
        <v>38</v>
      </c>
      <c r="B39" s="24" t="s">
        <v>8</v>
      </c>
      <c r="C39" s="24">
        <v>2000</v>
      </c>
      <c r="D39" s="25"/>
      <c r="E39" s="6" t="str">
        <f>IFERROR(VLOOKUP(得獎名單!D39,人員名單資料庫!$A$2:$C$33,3,FALSE),"")</f>
        <v/>
      </c>
      <c r="F39" s="7" t="str">
        <f>IFERROR(VLOOKUP(得獎名單!D39,人員名單資料庫!$A$2:$C$33,2,FALSE),"")</f>
        <v/>
      </c>
    </row>
    <row r="40" spans="1:6" x14ac:dyDescent="0.25">
      <c r="A40" s="23">
        <v>39</v>
      </c>
      <c r="B40" s="24" t="s">
        <v>8</v>
      </c>
      <c r="C40" s="24">
        <v>2000</v>
      </c>
      <c r="D40" s="25"/>
      <c r="E40" s="6" t="str">
        <f>IFERROR(VLOOKUP(得獎名單!D40,人員名單資料庫!$A$2:$C$33,3,FALSE),"")</f>
        <v/>
      </c>
      <c r="F40" s="7" t="str">
        <f>IFERROR(VLOOKUP(得獎名單!D40,人員名單資料庫!$A$2:$C$33,2,FALSE),"")</f>
        <v/>
      </c>
    </row>
    <row r="41" spans="1:6" x14ac:dyDescent="0.25">
      <c r="A41" s="23">
        <v>40</v>
      </c>
      <c r="B41" s="24" t="s">
        <v>8</v>
      </c>
      <c r="C41" s="24">
        <v>2000</v>
      </c>
      <c r="D41" s="25"/>
      <c r="E41" s="6" t="str">
        <f>IFERROR(VLOOKUP(得獎名單!D41,人員名單資料庫!$A$2:$C$33,3,FALSE),"")</f>
        <v/>
      </c>
      <c r="F41" s="7" t="str">
        <f>IFERROR(VLOOKUP(得獎名單!D41,人員名單資料庫!$A$2:$C$33,2,FALSE),"")</f>
        <v/>
      </c>
    </row>
    <row r="42" spans="1:6" x14ac:dyDescent="0.25">
      <c r="A42" s="23">
        <v>41</v>
      </c>
      <c r="B42" s="24" t="s">
        <v>8</v>
      </c>
      <c r="C42" s="24">
        <v>2000</v>
      </c>
      <c r="D42" s="25"/>
      <c r="E42" s="6" t="str">
        <f>IFERROR(VLOOKUP(得獎名單!D42,人員名單資料庫!$A$2:$C$33,3,FALSE),"")</f>
        <v/>
      </c>
      <c r="F42" s="7" t="str">
        <f>IFERROR(VLOOKUP(得獎名單!D42,人員名單資料庫!$A$2:$C$33,2,FALSE),"")</f>
        <v/>
      </c>
    </row>
    <row r="43" spans="1:6" x14ac:dyDescent="0.25">
      <c r="A43" s="23">
        <v>42</v>
      </c>
      <c r="B43" s="24" t="s">
        <v>8</v>
      </c>
      <c r="C43" s="24">
        <v>2000</v>
      </c>
      <c r="D43" s="25"/>
      <c r="E43" s="6" t="str">
        <f>IFERROR(VLOOKUP(得獎名單!D43,人員名單資料庫!$A$2:$C$33,3,FALSE),"")</f>
        <v/>
      </c>
      <c r="F43" s="7" t="str">
        <f>IFERROR(VLOOKUP(得獎名單!D43,人員名單資料庫!$A$2:$C$33,2,FALSE),"")</f>
        <v/>
      </c>
    </row>
    <row r="44" spans="1:6" x14ac:dyDescent="0.25">
      <c r="A44" s="23">
        <v>43</v>
      </c>
      <c r="B44" s="24" t="s">
        <v>8</v>
      </c>
      <c r="C44" s="24">
        <v>2000</v>
      </c>
      <c r="D44" s="25"/>
      <c r="E44" s="6" t="str">
        <f>IFERROR(VLOOKUP(得獎名單!D44,人員名單資料庫!$A$2:$C$33,3,FALSE),"")</f>
        <v/>
      </c>
      <c r="F44" s="7" t="str">
        <f>IFERROR(VLOOKUP(得獎名單!D44,人員名單資料庫!$A$2:$C$33,2,FALSE),"")</f>
        <v/>
      </c>
    </row>
    <row r="45" spans="1:6" x14ac:dyDescent="0.25">
      <c r="A45" s="23">
        <v>44</v>
      </c>
      <c r="B45" s="24" t="s">
        <v>8</v>
      </c>
      <c r="C45" s="24">
        <v>2000</v>
      </c>
      <c r="D45" s="25"/>
      <c r="E45" s="6" t="str">
        <f>IFERROR(VLOOKUP(得獎名單!D45,人員名單資料庫!$A$2:$C$33,3,FALSE),"")</f>
        <v/>
      </c>
      <c r="F45" s="7" t="str">
        <f>IFERROR(VLOOKUP(得獎名單!D45,人員名單資料庫!$A$2:$C$33,2,FALSE),"")</f>
        <v/>
      </c>
    </row>
    <row r="46" spans="1:6" x14ac:dyDescent="0.25">
      <c r="A46" s="23">
        <v>45</v>
      </c>
      <c r="B46" s="24" t="s">
        <v>8</v>
      </c>
      <c r="C46" s="24">
        <v>2000</v>
      </c>
      <c r="D46" s="25"/>
      <c r="E46" s="6" t="str">
        <f>IFERROR(VLOOKUP(得獎名單!D46,人員名單資料庫!$A$2:$C$33,3,FALSE),"")</f>
        <v/>
      </c>
      <c r="F46" s="7" t="str">
        <f>IFERROR(VLOOKUP(得獎名單!D46,人員名單資料庫!$A$2:$C$33,2,FALSE),"")</f>
        <v/>
      </c>
    </row>
    <row r="47" spans="1:6" x14ac:dyDescent="0.25">
      <c r="A47" s="23">
        <v>46</v>
      </c>
      <c r="B47" s="24" t="s">
        <v>8</v>
      </c>
      <c r="C47" s="24">
        <v>2000</v>
      </c>
      <c r="D47" s="25"/>
      <c r="E47" s="6" t="str">
        <f>IFERROR(VLOOKUP(得獎名單!D47,人員名單資料庫!$A$2:$C$33,3,FALSE),"")</f>
        <v/>
      </c>
      <c r="F47" s="7" t="str">
        <f>IFERROR(VLOOKUP(得獎名單!D47,人員名單資料庫!$A$2:$C$33,2,FALSE),"")</f>
        <v/>
      </c>
    </row>
    <row r="48" spans="1:6" x14ac:dyDescent="0.25">
      <c r="A48" s="23">
        <v>47</v>
      </c>
      <c r="B48" s="24" t="s">
        <v>8</v>
      </c>
      <c r="C48" s="24">
        <v>2000</v>
      </c>
      <c r="D48" s="25"/>
      <c r="E48" s="6" t="str">
        <f>IFERROR(VLOOKUP(得獎名單!D48,人員名單資料庫!$A$2:$C$33,3,FALSE),"")</f>
        <v/>
      </c>
      <c r="F48" s="7" t="str">
        <f>IFERROR(VLOOKUP(得獎名單!D48,人員名單資料庫!$A$2:$C$33,2,FALSE),"")</f>
        <v/>
      </c>
    </row>
    <row r="49" spans="1:6" x14ac:dyDescent="0.25">
      <c r="A49" s="23">
        <v>48</v>
      </c>
      <c r="B49" s="24" t="s">
        <v>8</v>
      </c>
      <c r="C49" s="24">
        <v>2000</v>
      </c>
      <c r="D49" s="25"/>
      <c r="E49" s="6" t="str">
        <f>IFERROR(VLOOKUP(得獎名單!D49,人員名單資料庫!$A$2:$C$33,3,FALSE),"")</f>
        <v/>
      </c>
      <c r="F49" s="7" t="str">
        <f>IFERROR(VLOOKUP(得獎名單!D49,人員名單資料庫!$A$2:$C$33,2,FALSE),"")</f>
        <v/>
      </c>
    </row>
    <row r="50" spans="1:6" x14ac:dyDescent="0.25">
      <c r="A50" s="23">
        <v>49</v>
      </c>
      <c r="B50" s="24" t="s">
        <v>8</v>
      </c>
      <c r="C50" s="24">
        <v>2000</v>
      </c>
      <c r="D50" s="25"/>
      <c r="E50" s="6" t="str">
        <f>IFERROR(VLOOKUP(得獎名單!D50,人員名單資料庫!$A$2:$C$33,3,FALSE),"")</f>
        <v/>
      </c>
      <c r="F50" s="7" t="str">
        <f>IFERROR(VLOOKUP(得獎名單!D50,人員名單資料庫!$A$2:$C$33,2,FALSE),"")</f>
        <v/>
      </c>
    </row>
    <row r="51" spans="1:6" x14ac:dyDescent="0.25">
      <c r="A51" s="23">
        <v>50</v>
      </c>
      <c r="B51" s="24" t="s">
        <v>8</v>
      </c>
      <c r="C51" s="24">
        <v>2000</v>
      </c>
      <c r="D51" s="25"/>
      <c r="E51" s="6" t="str">
        <f>IFERROR(VLOOKUP(得獎名單!D51,人員名單資料庫!$A$2:$C$33,3,FALSE),"")</f>
        <v/>
      </c>
      <c r="F51" s="7" t="str">
        <f>IFERROR(VLOOKUP(得獎名單!D51,人員名單資料庫!$A$2:$C$33,2,FALSE),"")</f>
        <v/>
      </c>
    </row>
    <row r="52" spans="1:6" x14ac:dyDescent="0.25">
      <c r="A52" s="23">
        <v>1</v>
      </c>
      <c r="B52" s="26" t="s">
        <v>9</v>
      </c>
      <c r="C52" s="26">
        <v>6000</v>
      </c>
      <c r="D52" s="19" t="s">
        <v>44</v>
      </c>
      <c r="E52" s="6" t="str">
        <f>IFERROR(VLOOKUP(得獎名單!D52,人員名單資料庫!$A$2:$C$33,3,FALSE),"")</f>
        <v>A02</v>
      </c>
      <c r="F52" s="7" t="str">
        <f>IFERROR(VLOOKUP(得獎名單!D52,人員名單資料庫!$A$2:$C$33,2,FALSE),"")</f>
        <v>A</v>
      </c>
    </row>
    <row r="53" spans="1:6" x14ac:dyDescent="0.25">
      <c r="A53" s="23">
        <v>2</v>
      </c>
      <c r="B53" s="26" t="s">
        <v>9</v>
      </c>
      <c r="C53" s="26">
        <v>6000</v>
      </c>
      <c r="D53" s="19" t="s">
        <v>45</v>
      </c>
      <c r="E53" s="6" t="str">
        <f>IFERROR(VLOOKUP(得獎名單!D53,人員名單資料庫!$A$2:$C$33,3,FALSE),"")</f>
        <v>B02</v>
      </c>
      <c r="F53" s="7" t="str">
        <f>IFERROR(VLOOKUP(得獎名單!D53,人員名單資料庫!$A$2:$C$33,2,FALSE),"")</f>
        <v>B</v>
      </c>
    </row>
    <row r="54" spans="1:6" x14ac:dyDescent="0.25">
      <c r="A54" s="23">
        <v>3</v>
      </c>
      <c r="B54" s="26" t="s">
        <v>9</v>
      </c>
      <c r="C54" s="26">
        <v>6000</v>
      </c>
      <c r="D54" s="19" t="s">
        <v>46</v>
      </c>
      <c r="E54" s="6" t="str">
        <f>IFERROR(VLOOKUP(得獎名單!D54,人員名單資料庫!$A$2:$C$33,3,FALSE),"")</f>
        <v>C02</v>
      </c>
      <c r="F54" s="7" t="str">
        <f>IFERROR(VLOOKUP(得獎名單!D54,人員名單資料庫!$A$2:$C$33,2,FALSE),"")</f>
        <v>C</v>
      </c>
    </row>
    <row r="55" spans="1:6" x14ac:dyDescent="0.25">
      <c r="A55" s="23">
        <v>4</v>
      </c>
      <c r="B55" s="26" t="s">
        <v>9</v>
      </c>
      <c r="C55" s="26">
        <v>6000</v>
      </c>
      <c r="D55" s="19" t="s">
        <v>47</v>
      </c>
      <c r="E55" s="6" t="str">
        <f>IFERROR(VLOOKUP(得獎名單!D55,人員名單資料庫!$A$2:$C$33,3,FALSE),"")</f>
        <v>A02</v>
      </c>
      <c r="F55" s="7" t="str">
        <f>IFERROR(VLOOKUP(得獎名單!D55,人員名單資料庫!$A$2:$C$33,2,FALSE),"")</f>
        <v>A</v>
      </c>
    </row>
    <row r="56" spans="1:6" x14ac:dyDescent="0.25">
      <c r="A56" s="23">
        <v>5</v>
      </c>
      <c r="B56" s="26" t="s">
        <v>9</v>
      </c>
      <c r="C56" s="26">
        <v>6000</v>
      </c>
      <c r="D56" s="19" t="s">
        <v>48</v>
      </c>
      <c r="E56" s="6" t="str">
        <f>IFERROR(VLOOKUP(得獎名單!D56,人員名單資料庫!$A$2:$C$33,3,FALSE),"")</f>
        <v>B02</v>
      </c>
      <c r="F56" s="7" t="str">
        <f>IFERROR(VLOOKUP(得獎名單!D56,人員名單資料庫!$A$2:$C$33,2,FALSE),"")</f>
        <v>B</v>
      </c>
    </row>
    <row r="57" spans="1:6" x14ac:dyDescent="0.25">
      <c r="A57" s="23">
        <v>6</v>
      </c>
      <c r="B57" s="26" t="s">
        <v>9</v>
      </c>
      <c r="C57" s="26">
        <v>6000</v>
      </c>
      <c r="D57" s="19" t="s">
        <v>49</v>
      </c>
      <c r="E57" s="6" t="str">
        <f>IFERROR(VLOOKUP(得獎名單!D57,人員名單資料庫!$A$2:$C$33,3,FALSE),"")</f>
        <v>C02</v>
      </c>
      <c r="F57" s="7" t="str">
        <f>IFERROR(VLOOKUP(得獎名單!D57,人員名單資料庫!$A$2:$C$33,2,FALSE),"")</f>
        <v>C</v>
      </c>
    </row>
    <row r="58" spans="1:6" x14ac:dyDescent="0.25">
      <c r="A58" s="23">
        <v>7</v>
      </c>
      <c r="B58" s="26" t="s">
        <v>9</v>
      </c>
      <c r="C58" s="26">
        <v>6000</v>
      </c>
      <c r="D58" s="25"/>
      <c r="E58" s="6" t="str">
        <f>IFERROR(VLOOKUP(得獎名單!D58,人員名單資料庫!$A$2:$C$33,3,FALSE),"")</f>
        <v/>
      </c>
      <c r="F58" s="7" t="str">
        <f>IFERROR(VLOOKUP(得獎名單!D58,人員名單資料庫!$A$2:$C$33,2,FALSE),"")</f>
        <v/>
      </c>
    </row>
    <row r="59" spans="1:6" x14ac:dyDescent="0.25">
      <c r="A59" s="23">
        <v>8</v>
      </c>
      <c r="B59" s="26" t="s">
        <v>9</v>
      </c>
      <c r="C59" s="26">
        <v>6000</v>
      </c>
      <c r="D59" s="25"/>
      <c r="E59" s="6" t="str">
        <f>IFERROR(VLOOKUP(得獎名單!D59,人員名單資料庫!$A$2:$C$33,3,FALSE),"")</f>
        <v/>
      </c>
      <c r="F59" s="7" t="str">
        <f>IFERROR(VLOOKUP(得獎名單!D59,人員名單資料庫!$A$2:$C$33,2,FALSE),"")</f>
        <v/>
      </c>
    </row>
    <row r="60" spans="1:6" x14ac:dyDescent="0.25">
      <c r="A60" s="23">
        <v>9</v>
      </c>
      <c r="B60" s="26" t="s">
        <v>9</v>
      </c>
      <c r="C60" s="26">
        <v>6000</v>
      </c>
      <c r="D60" s="25"/>
      <c r="E60" s="6" t="str">
        <f>IFERROR(VLOOKUP(得獎名單!D60,人員名單資料庫!$A$2:$C$33,3,FALSE),"")</f>
        <v/>
      </c>
      <c r="F60" s="7" t="str">
        <f>IFERROR(VLOOKUP(得獎名單!D60,人員名單資料庫!$A$2:$C$33,2,FALSE),"")</f>
        <v/>
      </c>
    </row>
    <row r="61" spans="1:6" x14ac:dyDescent="0.25">
      <c r="A61" s="23">
        <v>10</v>
      </c>
      <c r="B61" s="26" t="s">
        <v>9</v>
      </c>
      <c r="C61" s="26">
        <v>6000</v>
      </c>
      <c r="D61" s="25"/>
      <c r="E61" s="6" t="str">
        <f>IFERROR(VLOOKUP(得獎名單!D61,人員名單資料庫!$A$2:$C$33,3,FALSE),"")</f>
        <v/>
      </c>
      <c r="F61" s="7" t="str">
        <f>IFERROR(VLOOKUP(得獎名單!D61,人員名單資料庫!$A$2:$C$33,2,FALSE),"")</f>
        <v/>
      </c>
    </row>
    <row r="62" spans="1:6" x14ac:dyDescent="0.25">
      <c r="A62" s="23">
        <v>11</v>
      </c>
      <c r="B62" s="26" t="s">
        <v>9</v>
      </c>
      <c r="C62" s="26">
        <v>6000</v>
      </c>
      <c r="D62" s="25"/>
      <c r="E62" s="6" t="str">
        <f>IFERROR(VLOOKUP(得獎名單!D62,人員名單資料庫!$A$2:$C$33,3,FALSE),"")</f>
        <v/>
      </c>
      <c r="F62" s="7" t="str">
        <f>IFERROR(VLOOKUP(得獎名單!D62,人員名單資料庫!$A$2:$C$33,2,FALSE),"")</f>
        <v/>
      </c>
    </row>
    <row r="63" spans="1:6" x14ac:dyDescent="0.25">
      <c r="A63" s="23">
        <v>12</v>
      </c>
      <c r="B63" s="26" t="s">
        <v>9</v>
      </c>
      <c r="C63" s="26">
        <v>6000</v>
      </c>
      <c r="D63" s="25"/>
      <c r="E63" s="6" t="str">
        <f>IFERROR(VLOOKUP(得獎名單!D63,人員名單資料庫!$A$2:$C$33,3,FALSE),"")</f>
        <v/>
      </c>
      <c r="F63" s="7" t="str">
        <f>IFERROR(VLOOKUP(得獎名單!D63,人員名單資料庫!$A$2:$C$33,2,FALSE),"")</f>
        <v/>
      </c>
    </row>
    <row r="64" spans="1:6" x14ac:dyDescent="0.25">
      <c r="A64" s="23">
        <v>13</v>
      </c>
      <c r="B64" s="26" t="s">
        <v>9</v>
      </c>
      <c r="C64" s="26">
        <v>6000</v>
      </c>
      <c r="D64" s="25"/>
      <c r="E64" s="6" t="str">
        <f>IFERROR(VLOOKUP(得獎名單!D64,人員名單資料庫!$A$2:$C$33,3,FALSE),"")</f>
        <v/>
      </c>
      <c r="F64" s="7" t="str">
        <f>IFERROR(VLOOKUP(得獎名單!D64,人員名單資料庫!$A$2:$C$33,2,FALSE),"")</f>
        <v/>
      </c>
    </row>
    <row r="65" spans="1:6" x14ac:dyDescent="0.25">
      <c r="A65" s="23">
        <v>14</v>
      </c>
      <c r="B65" s="26" t="s">
        <v>9</v>
      </c>
      <c r="C65" s="26">
        <v>6000</v>
      </c>
      <c r="D65" s="25"/>
      <c r="E65" s="6" t="str">
        <f>IFERROR(VLOOKUP(得獎名單!D65,人員名單資料庫!$A$2:$C$33,3,FALSE),"")</f>
        <v/>
      </c>
      <c r="F65" s="7" t="str">
        <f>IFERROR(VLOOKUP(得獎名單!D65,人員名單資料庫!$A$2:$C$33,2,FALSE),"")</f>
        <v/>
      </c>
    </row>
    <row r="66" spans="1:6" x14ac:dyDescent="0.25">
      <c r="A66" s="23">
        <v>15</v>
      </c>
      <c r="B66" s="26" t="s">
        <v>9</v>
      </c>
      <c r="C66" s="26">
        <v>6000</v>
      </c>
      <c r="D66" s="25"/>
      <c r="E66" s="6" t="str">
        <f>IFERROR(VLOOKUP(得獎名單!D66,人員名單資料庫!$A$2:$C$33,3,FALSE),"")</f>
        <v/>
      </c>
      <c r="F66" s="7" t="str">
        <f>IFERROR(VLOOKUP(得獎名單!D66,人員名單資料庫!$A$2:$C$33,2,FALSE),"")</f>
        <v/>
      </c>
    </row>
    <row r="67" spans="1:6" x14ac:dyDescent="0.25">
      <c r="A67" s="23">
        <v>16</v>
      </c>
      <c r="B67" s="26" t="s">
        <v>9</v>
      </c>
      <c r="C67" s="26">
        <v>6000</v>
      </c>
      <c r="D67" s="25"/>
      <c r="E67" s="6" t="str">
        <f>IFERROR(VLOOKUP(得獎名單!D67,人員名單資料庫!$A$2:$C$33,3,FALSE),"")</f>
        <v/>
      </c>
      <c r="F67" s="7" t="str">
        <f>IFERROR(VLOOKUP(得獎名單!D67,人員名單資料庫!$A$2:$C$33,2,FALSE),"")</f>
        <v/>
      </c>
    </row>
    <row r="68" spans="1:6" x14ac:dyDescent="0.25">
      <c r="A68" s="23">
        <v>17</v>
      </c>
      <c r="B68" s="26" t="s">
        <v>9</v>
      </c>
      <c r="C68" s="26">
        <v>6000</v>
      </c>
      <c r="D68" s="25"/>
      <c r="E68" s="6" t="str">
        <f>IFERROR(VLOOKUP(得獎名單!D68,人員名單資料庫!$A$2:$C$33,3,FALSE),"")</f>
        <v/>
      </c>
      <c r="F68" s="7" t="str">
        <f>IFERROR(VLOOKUP(得獎名單!D68,人員名單資料庫!$A$2:$C$33,2,FALSE),"")</f>
        <v/>
      </c>
    </row>
    <row r="69" spans="1:6" x14ac:dyDescent="0.25">
      <c r="A69" s="23">
        <v>18</v>
      </c>
      <c r="B69" s="26" t="s">
        <v>9</v>
      </c>
      <c r="C69" s="26">
        <v>6000</v>
      </c>
      <c r="D69" s="25"/>
      <c r="E69" s="6" t="str">
        <f>IFERROR(VLOOKUP(得獎名單!D69,人員名單資料庫!$A$2:$C$33,3,FALSE),"")</f>
        <v/>
      </c>
      <c r="F69" s="7" t="str">
        <f>IFERROR(VLOOKUP(得獎名單!D69,人員名單資料庫!$A$2:$C$33,2,FALSE),"")</f>
        <v/>
      </c>
    </row>
    <row r="70" spans="1:6" x14ac:dyDescent="0.25">
      <c r="A70" s="23">
        <v>19</v>
      </c>
      <c r="B70" s="26" t="s">
        <v>9</v>
      </c>
      <c r="C70" s="26">
        <v>6000</v>
      </c>
      <c r="D70" s="25"/>
      <c r="E70" s="6" t="str">
        <f>IFERROR(VLOOKUP(得獎名單!D70,人員名單資料庫!$A$2:$C$33,3,FALSE),"")</f>
        <v/>
      </c>
      <c r="F70" s="7" t="str">
        <f>IFERROR(VLOOKUP(得獎名單!D70,人員名單資料庫!$A$2:$C$33,2,FALSE),"")</f>
        <v/>
      </c>
    </row>
    <row r="71" spans="1:6" x14ac:dyDescent="0.25">
      <c r="A71" s="23">
        <v>20</v>
      </c>
      <c r="B71" s="26" t="s">
        <v>9</v>
      </c>
      <c r="C71" s="26">
        <v>6000</v>
      </c>
      <c r="D71" s="25"/>
      <c r="E71" s="6" t="str">
        <f>IFERROR(VLOOKUP(得獎名單!D71,人員名單資料庫!$A$2:$C$33,3,FALSE),"")</f>
        <v/>
      </c>
      <c r="F71" s="7" t="str">
        <f>IFERROR(VLOOKUP(得獎名單!D71,人員名單資料庫!$A$2:$C$33,2,FALSE),"")</f>
        <v/>
      </c>
    </row>
    <row r="72" spans="1:6" x14ac:dyDescent="0.25">
      <c r="A72" s="23">
        <v>1</v>
      </c>
      <c r="B72" s="26" t="s">
        <v>10</v>
      </c>
      <c r="C72" s="26">
        <v>10000</v>
      </c>
      <c r="D72" s="19" t="s">
        <v>50</v>
      </c>
      <c r="E72" s="6" t="str">
        <f>IFERROR(VLOOKUP(得獎名單!D72,人員名單資料庫!$A$2:$C$33,3,FALSE),"")</f>
        <v>A03</v>
      </c>
      <c r="F72" s="7" t="str">
        <f>IFERROR(VLOOKUP(得獎名單!D72,人員名單資料庫!$A$2:$C$33,2,FALSE),"")</f>
        <v>A</v>
      </c>
    </row>
    <row r="73" spans="1:6" x14ac:dyDescent="0.25">
      <c r="A73" s="23">
        <v>2</v>
      </c>
      <c r="B73" s="26" t="s">
        <v>10</v>
      </c>
      <c r="C73" s="26">
        <v>10000</v>
      </c>
      <c r="D73" s="19" t="s">
        <v>51</v>
      </c>
      <c r="E73" s="6" t="str">
        <f>IFERROR(VLOOKUP(得獎名單!D73,人員名單資料庫!$A$2:$C$33,3,FALSE),"")</f>
        <v>B03</v>
      </c>
      <c r="F73" s="7" t="str">
        <f>IFERROR(VLOOKUP(得獎名單!D73,人員名單資料庫!$A$2:$C$33,2,FALSE),"")</f>
        <v>B</v>
      </c>
    </row>
    <row r="74" spans="1:6" x14ac:dyDescent="0.25">
      <c r="A74" s="23">
        <v>3</v>
      </c>
      <c r="B74" s="26" t="s">
        <v>10</v>
      </c>
      <c r="C74" s="26">
        <v>10000</v>
      </c>
      <c r="D74" s="19" t="s">
        <v>52</v>
      </c>
      <c r="E74" s="6" t="str">
        <f>IFERROR(VLOOKUP(得獎名單!D74,人員名單資料庫!$A$2:$C$33,3,FALSE),"")</f>
        <v>C03</v>
      </c>
      <c r="F74" s="7" t="str">
        <f>IFERROR(VLOOKUP(得獎名單!D74,人員名單資料庫!$A$2:$C$33,2,FALSE),"")</f>
        <v>C</v>
      </c>
    </row>
    <row r="75" spans="1:6" x14ac:dyDescent="0.25">
      <c r="A75" s="23">
        <v>4</v>
      </c>
      <c r="B75" s="26" t="s">
        <v>10</v>
      </c>
      <c r="C75" s="26">
        <v>10000</v>
      </c>
      <c r="D75" s="19" t="s">
        <v>53</v>
      </c>
      <c r="E75" s="6" t="str">
        <f>IFERROR(VLOOKUP(得獎名單!D75,人員名單資料庫!$A$2:$C$33,3,FALSE),"")</f>
        <v>A03</v>
      </c>
      <c r="F75" s="7" t="str">
        <f>IFERROR(VLOOKUP(得獎名單!D75,人員名單資料庫!$A$2:$C$33,2,FALSE),"")</f>
        <v>A</v>
      </c>
    </row>
    <row r="76" spans="1:6" x14ac:dyDescent="0.25">
      <c r="A76" s="23">
        <v>5</v>
      </c>
      <c r="B76" s="26" t="s">
        <v>10</v>
      </c>
      <c r="C76" s="26">
        <v>10000</v>
      </c>
      <c r="D76" s="19" t="s">
        <v>54</v>
      </c>
      <c r="E76" s="6" t="str">
        <f>IFERROR(VLOOKUP(得獎名單!D76,人員名單資料庫!$A$2:$C$33,3,FALSE),"")</f>
        <v>B03</v>
      </c>
      <c r="F76" s="7" t="str">
        <f>IFERROR(VLOOKUP(得獎名單!D76,人員名單資料庫!$A$2:$C$33,2,FALSE),"")</f>
        <v>B</v>
      </c>
    </row>
    <row r="77" spans="1:6" x14ac:dyDescent="0.25">
      <c r="A77" s="23">
        <v>6</v>
      </c>
      <c r="B77" s="26" t="s">
        <v>10</v>
      </c>
      <c r="C77" s="26">
        <v>10000</v>
      </c>
      <c r="D77" s="19" t="s">
        <v>55</v>
      </c>
      <c r="E77" s="6" t="str">
        <f>IFERROR(VLOOKUP(得獎名單!D77,人員名單資料庫!$A$2:$C$33,3,FALSE),"")</f>
        <v>C03</v>
      </c>
      <c r="F77" s="7" t="str">
        <f>IFERROR(VLOOKUP(得獎名單!D77,人員名單資料庫!$A$2:$C$33,2,FALSE),"")</f>
        <v>C</v>
      </c>
    </row>
    <row r="78" spans="1:6" x14ac:dyDescent="0.25">
      <c r="A78" s="23">
        <v>7</v>
      </c>
      <c r="B78" s="26" t="s">
        <v>10</v>
      </c>
      <c r="C78" s="26">
        <v>10000</v>
      </c>
      <c r="D78" s="19" t="s">
        <v>56</v>
      </c>
      <c r="E78" s="6" t="str">
        <f>IFERROR(VLOOKUP(得獎名單!D78,人員名單資料庫!$A$2:$C$33,3,FALSE),"")</f>
        <v>A04</v>
      </c>
      <c r="F78" s="7" t="str">
        <f>IFERROR(VLOOKUP(得獎名單!D78,人員名單資料庫!$A$2:$C$33,2,FALSE),"")</f>
        <v>A</v>
      </c>
    </row>
    <row r="79" spans="1:6" x14ac:dyDescent="0.25">
      <c r="A79" s="23">
        <v>8</v>
      </c>
      <c r="B79" s="26" t="s">
        <v>10</v>
      </c>
      <c r="C79" s="26">
        <v>10000</v>
      </c>
      <c r="D79" s="19" t="s">
        <v>57</v>
      </c>
      <c r="E79" s="6" t="str">
        <f>IFERROR(VLOOKUP(得獎名單!D79,人員名單資料庫!$A$2:$C$33,3,FALSE),"")</f>
        <v>B04</v>
      </c>
      <c r="F79" s="7" t="str">
        <f>IFERROR(VLOOKUP(得獎名單!D79,人員名單資料庫!$A$2:$C$33,2,FALSE),"")</f>
        <v>B</v>
      </c>
    </row>
    <row r="80" spans="1:6" x14ac:dyDescent="0.25">
      <c r="A80" s="23">
        <v>1</v>
      </c>
      <c r="B80" s="26" t="s">
        <v>11</v>
      </c>
      <c r="C80" s="26">
        <v>12000</v>
      </c>
      <c r="D80" s="19" t="s">
        <v>58</v>
      </c>
      <c r="E80" s="6" t="str">
        <f>IFERROR(VLOOKUP(得獎名單!D80,人員名單資料庫!$A$2:$C$33,3,FALSE),"")</f>
        <v>C04</v>
      </c>
      <c r="F80" s="7" t="str">
        <f>IFERROR(VLOOKUP(得獎名單!D80,人員名單資料庫!$A$2:$C$33,2,FALSE),"")</f>
        <v>C</v>
      </c>
    </row>
    <row r="81" spans="1:6" x14ac:dyDescent="0.25">
      <c r="A81" s="23">
        <v>2</v>
      </c>
      <c r="B81" s="26" t="s">
        <v>11</v>
      </c>
      <c r="C81" s="26">
        <v>12000</v>
      </c>
      <c r="D81" s="19" t="s">
        <v>59</v>
      </c>
      <c r="E81" s="6" t="str">
        <f>IFERROR(VLOOKUP(得獎名單!D81,人員名單資料庫!$A$2:$C$33,3,FALSE),"")</f>
        <v>A04</v>
      </c>
      <c r="F81" s="7" t="str">
        <f>IFERROR(VLOOKUP(得獎名單!D81,人員名單資料庫!$A$2:$C$33,2,FALSE),"")</f>
        <v>A</v>
      </c>
    </row>
    <row r="82" spans="1:6" x14ac:dyDescent="0.25">
      <c r="A82" s="23">
        <v>3</v>
      </c>
      <c r="B82" s="26" t="s">
        <v>11</v>
      </c>
      <c r="C82" s="26">
        <v>12000</v>
      </c>
      <c r="D82" s="19" t="s">
        <v>60</v>
      </c>
      <c r="E82" s="6" t="str">
        <f>IFERROR(VLOOKUP(得獎名單!D82,人員名單資料庫!$A$2:$C$33,3,FALSE),"")</f>
        <v>B04</v>
      </c>
      <c r="F82" s="7" t="str">
        <f>IFERROR(VLOOKUP(得獎名單!D82,人員名單資料庫!$A$2:$C$33,2,FALSE),"")</f>
        <v>B</v>
      </c>
    </row>
    <row r="83" spans="1:6" x14ac:dyDescent="0.25">
      <c r="A83" s="23">
        <v>4</v>
      </c>
      <c r="B83" s="26" t="s">
        <v>11</v>
      </c>
      <c r="C83" s="26">
        <v>12000</v>
      </c>
      <c r="D83" s="19" t="s">
        <v>61</v>
      </c>
      <c r="E83" s="6" t="str">
        <f>IFERROR(VLOOKUP(得獎名單!D83,人員名單資料庫!$A$2:$C$33,3,FALSE),"")</f>
        <v>C04</v>
      </c>
      <c r="F83" s="7" t="str">
        <f>IFERROR(VLOOKUP(得獎名單!D83,人員名單資料庫!$A$2:$C$33,2,FALSE),"")</f>
        <v>C</v>
      </c>
    </row>
    <row r="84" spans="1:6" x14ac:dyDescent="0.25">
      <c r="A84" s="23">
        <v>5</v>
      </c>
      <c r="B84" s="26" t="s">
        <v>11</v>
      </c>
      <c r="C84" s="26">
        <v>12000</v>
      </c>
      <c r="D84" s="19" t="s">
        <v>62</v>
      </c>
      <c r="E84" s="6" t="str">
        <f>IFERROR(VLOOKUP(得獎名單!D84,人員名單資料庫!$A$2:$C$33,3,FALSE),"")</f>
        <v>A05</v>
      </c>
      <c r="F84" s="7" t="str">
        <f>IFERROR(VLOOKUP(得獎名單!D84,人員名單資料庫!$A$2:$C$33,2,FALSE),"")</f>
        <v>A</v>
      </c>
    </row>
    <row r="85" spans="1:6" x14ac:dyDescent="0.25">
      <c r="A85" s="23">
        <v>6</v>
      </c>
      <c r="B85" s="26" t="s">
        <v>11</v>
      </c>
      <c r="C85" s="26">
        <v>12000</v>
      </c>
      <c r="D85" s="19" t="s">
        <v>63</v>
      </c>
      <c r="E85" s="6" t="str">
        <f>IFERROR(VLOOKUP(得獎名單!D85,人員名單資料庫!$A$2:$C$33,3,FALSE),"")</f>
        <v>B05</v>
      </c>
      <c r="F85" s="7" t="str">
        <f>IFERROR(VLOOKUP(得獎名單!D85,人員名單資料庫!$A$2:$C$33,2,FALSE),"")</f>
        <v>B</v>
      </c>
    </row>
    <row r="86" spans="1:6" x14ac:dyDescent="0.25">
      <c r="A86" s="23">
        <v>1</v>
      </c>
      <c r="B86" s="26" t="s">
        <v>12</v>
      </c>
      <c r="C86" s="26">
        <v>20000</v>
      </c>
      <c r="D86" s="19" t="s">
        <v>64</v>
      </c>
      <c r="E86" s="6" t="str">
        <f>IFERROR(VLOOKUP(得獎名單!D86,人員名單資料庫!$A$2:$C$33,3,FALSE),"")</f>
        <v>C05</v>
      </c>
      <c r="F86" s="7" t="str">
        <f>IFERROR(VLOOKUP(得獎名單!D86,人員名單資料庫!$A$2:$C$33,2,FALSE),"")</f>
        <v>C</v>
      </c>
    </row>
  </sheetData>
  <phoneticPr fontId="1" type="noConversion"/>
  <conditionalFormatting sqref="D2:D86">
    <cfRule type="duplicateValues" dxfId="23" priority="1"/>
  </conditionalFormatting>
  <dataValidations count="1">
    <dataValidation type="custom" errorStyle="warning" allowBlank="1" showInputMessage="1" showErrorMessage="1" errorTitle="重複警告" error="此工號已經領過獎了，請勿重複輸入！" sqref="D2:D86">
      <formula1>COUNTIF($D:$D, D2)=1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B3" sqref="B3"/>
    </sheetView>
  </sheetViews>
  <sheetFormatPr defaultRowHeight="13.2" x14ac:dyDescent="0.25"/>
  <cols>
    <col min="1" max="1" width="13.5546875" style="10" customWidth="1"/>
    <col min="2" max="2" width="21.5546875" style="10" customWidth="1"/>
    <col min="3" max="3" width="15.44140625" style="10" customWidth="1"/>
    <col min="4" max="16384" width="8.88671875" style="10"/>
  </cols>
  <sheetData>
    <row r="1" spans="1:3" ht="13.8" thickBot="1" x14ac:dyDescent="0.3">
      <c r="A1" s="8" t="s">
        <v>14</v>
      </c>
      <c r="B1" s="8" t="s">
        <v>15</v>
      </c>
      <c r="C1" s="9" t="s">
        <v>16</v>
      </c>
    </row>
    <row r="2" spans="1:3" ht="13.8" thickBot="1" x14ac:dyDescent="0.3">
      <c r="A2" s="11" t="s">
        <v>17</v>
      </c>
      <c r="B2" s="11" t="s">
        <v>18</v>
      </c>
      <c r="C2" s="12" t="s">
        <v>19</v>
      </c>
    </row>
    <row r="3" spans="1:3" ht="27" thickBot="1" x14ac:dyDescent="0.3">
      <c r="A3" s="13" t="s">
        <v>20</v>
      </c>
      <c r="B3" s="13" t="s">
        <v>99</v>
      </c>
      <c r="C3" s="14" t="s">
        <v>21</v>
      </c>
    </row>
    <row r="4" spans="1:3" ht="13.8" thickBot="1" x14ac:dyDescent="0.3">
      <c r="A4" s="17" t="s">
        <v>37</v>
      </c>
      <c r="B4" s="17" t="s">
        <v>38</v>
      </c>
      <c r="C4" s="18" t="s">
        <v>39</v>
      </c>
    </row>
    <row r="5" spans="1:3" ht="27" thickBot="1" x14ac:dyDescent="0.3">
      <c r="A5" s="13" t="s">
        <v>22</v>
      </c>
      <c r="B5" s="13">
        <v>0.5</v>
      </c>
      <c r="C5" s="18" t="s">
        <v>98</v>
      </c>
    </row>
    <row r="6" spans="1:3" ht="27" thickBot="1" x14ac:dyDescent="0.3">
      <c r="A6" s="13" t="s">
        <v>23</v>
      </c>
      <c r="B6" s="13">
        <v>5</v>
      </c>
      <c r="C6" s="14" t="s">
        <v>24</v>
      </c>
    </row>
    <row r="7" spans="1:3" ht="27" thickBot="1" x14ac:dyDescent="0.3">
      <c r="A7" s="13" t="s">
        <v>25</v>
      </c>
      <c r="B7" s="13" t="s">
        <v>26</v>
      </c>
      <c r="C7" s="14" t="s">
        <v>27</v>
      </c>
    </row>
    <row r="8" spans="1:3" ht="27" thickBot="1" x14ac:dyDescent="0.3">
      <c r="A8" s="13" t="s">
        <v>28</v>
      </c>
      <c r="B8" s="13" t="s">
        <v>29</v>
      </c>
      <c r="C8" s="14" t="s">
        <v>30</v>
      </c>
    </row>
    <row r="9" spans="1:3" ht="27" thickBot="1" x14ac:dyDescent="0.3">
      <c r="A9" s="13" t="s">
        <v>31</v>
      </c>
      <c r="B9" s="13" t="s">
        <v>32</v>
      </c>
      <c r="C9" s="14" t="s">
        <v>33</v>
      </c>
    </row>
    <row r="10" spans="1:3" ht="26.4" x14ac:dyDescent="0.25">
      <c r="A10" s="15" t="s">
        <v>34</v>
      </c>
      <c r="B10" s="15" t="s">
        <v>35</v>
      </c>
      <c r="C10" s="16" t="s">
        <v>36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 activeCell="A26" sqref="A26:A33"/>
    </sheetView>
  </sheetViews>
  <sheetFormatPr defaultRowHeight="13.2" x14ac:dyDescent="0.25"/>
  <cols>
    <col min="1" max="1" width="11.6640625" customWidth="1"/>
    <col min="2" max="2" width="25.44140625" bestFit="1" customWidth="1"/>
    <col min="3" max="3" width="10.4414062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s="19" t="s">
        <v>40</v>
      </c>
      <c r="B2" s="20" t="s">
        <v>41</v>
      </c>
      <c r="C2" s="20" t="s">
        <v>75</v>
      </c>
    </row>
    <row r="3" spans="1:3" x14ac:dyDescent="0.25">
      <c r="A3" s="19" t="s">
        <v>42</v>
      </c>
      <c r="B3" s="20" t="s">
        <v>73</v>
      </c>
      <c r="C3" s="20" t="s">
        <v>81</v>
      </c>
    </row>
    <row r="4" spans="1:3" x14ac:dyDescent="0.25">
      <c r="A4" s="19" t="s">
        <v>43</v>
      </c>
      <c r="B4" s="20" t="s">
        <v>74</v>
      </c>
      <c r="C4" s="20" t="s">
        <v>80</v>
      </c>
    </row>
    <row r="5" spans="1:3" x14ac:dyDescent="0.25">
      <c r="A5" s="19" t="s">
        <v>44</v>
      </c>
      <c r="B5" s="20" t="s">
        <v>41</v>
      </c>
      <c r="C5" s="20" t="s">
        <v>77</v>
      </c>
    </row>
    <row r="6" spans="1:3" x14ac:dyDescent="0.25">
      <c r="A6" s="19" t="s">
        <v>45</v>
      </c>
      <c r="B6" s="20" t="s">
        <v>73</v>
      </c>
      <c r="C6" s="20" t="s">
        <v>79</v>
      </c>
    </row>
    <row r="7" spans="1:3" x14ac:dyDescent="0.25">
      <c r="A7" s="19" t="s">
        <v>46</v>
      </c>
      <c r="B7" s="20" t="s">
        <v>74</v>
      </c>
      <c r="C7" s="20" t="s">
        <v>83</v>
      </c>
    </row>
    <row r="8" spans="1:3" x14ac:dyDescent="0.25">
      <c r="A8" s="19" t="s">
        <v>47</v>
      </c>
      <c r="B8" s="20" t="s">
        <v>41</v>
      </c>
      <c r="C8" s="20" t="s">
        <v>76</v>
      </c>
    </row>
    <row r="9" spans="1:3" x14ac:dyDescent="0.25">
      <c r="A9" s="19" t="s">
        <v>48</v>
      </c>
      <c r="B9" s="20" t="s">
        <v>73</v>
      </c>
      <c r="C9" s="20" t="s">
        <v>78</v>
      </c>
    </row>
    <row r="10" spans="1:3" x14ac:dyDescent="0.25">
      <c r="A10" s="19" t="s">
        <v>49</v>
      </c>
      <c r="B10" s="20" t="s">
        <v>74</v>
      </c>
      <c r="C10" s="20" t="s">
        <v>82</v>
      </c>
    </row>
    <row r="11" spans="1:3" x14ac:dyDescent="0.25">
      <c r="A11" s="19" t="s">
        <v>50</v>
      </c>
      <c r="B11" s="20" t="s">
        <v>41</v>
      </c>
      <c r="C11" s="20" t="s">
        <v>84</v>
      </c>
    </row>
    <row r="12" spans="1:3" x14ac:dyDescent="0.25">
      <c r="A12" s="19" t="s">
        <v>51</v>
      </c>
      <c r="B12" s="20" t="s">
        <v>73</v>
      </c>
      <c r="C12" s="20" t="s">
        <v>85</v>
      </c>
    </row>
    <row r="13" spans="1:3" x14ac:dyDescent="0.25">
      <c r="A13" s="19" t="s">
        <v>52</v>
      </c>
      <c r="B13" s="20" t="s">
        <v>74</v>
      </c>
      <c r="C13" s="20" t="s">
        <v>86</v>
      </c>
    </row>
    <row r="14" spans="1:3" x14ac:dyDescent="0.25">
      <c r="A14" s="19" t="s">
        <v>53</v>
      </c>
      <c r="B14" s="20" t="s">
        <v>41</v>
      </c>
      <c r="C14" s="20" t="s">
        <v>84</v>
      </c>
    </row>
    <row r="15" spans="1:3" x14ac:dyDescent="0.25">
      <c r="A15" s="19" t="s">
        <v>54</v>
      </c>
      <c r="B15" s="20" t="s">
        <v>73</v>
      </c>
      <c r="C15" s="20" t="s">
        <v>85</v>
      </c>
    </row>
    <row r="16" spans="1:3" x14ac:dyDescent="0.25">
      <c r="A16" s="19" t="s">
        <v>55</v>
      </c>
      <c r="B16" s="20" t="s">
        <v>74</v>
      </c>
      <c r="C16" s="20" t="s">
        <v>86</v>
      </c>
    </row>
    <row r="17" spans="1:3" x14ac:dyDescent="0.25">
      <c r="A17" s="19" t="s">
        <v>56</v>
      </c>
      <c r="B17" s="20" t="s">
        <v>41</v>
      </c>
      <c r="C17" s="20" t="s">
        <v>87</v>
      </c>
    </row>
    <row r="18" spans="1:3" x14ac:dyDescent="0.25">
      <c r="A18" s="19" t="s">
        <v>57</v>
      </c>
      <c r="B18" s="20" t="s">
        <v>73</v>
      </c>
      <c r="C18" s="20" t="s">
        <v>88</v>
      </c>
    </row>
    <row r="19" spans="1:3" x14ac:dyDescent="0.25">
      <c r="A19" s="19" t="s">
        <v>58</v>
      </c>
      <c r="B19" s="20" t="s">
        <v>74</v>
      </c>
      <c r="C19" s="20" t="s">
        <v>89</v>
      </c>
    </row>
    <row r="20" spans="1:3" x14ac:dyDescent="0.25">
      <c r="A20" s="19" t="s">
        <v>59</v>
      </c>
      <c r="B20" s="20" t="s">
        <v>41</v>
      </c>
      <c r="C20" s="20" t="s">
        <v>87</v>
      </c>
    </row>
    <row r="21" spans="1:3" x14ac:dyDescent="0.25">
      <c r="A21" s="19" t="s">
        <v>60</v>
      </c>
      <c r="B21" s="20" t="s">
        <v>73</v>
      </c>
      <c r="C21" s="20" t="s">
        <v>88</v>
      </c>
    </row>
    <row r="22" spans="1:3" x14ac:dyDescent="0.25">
      <c r="A22" s="19" t="s">
        <v>61</v>
      </c>
      <c r="B22" s="20" t="s">
        <v>74</v>
      </c>
      <c r="C22" s="20" t="s">
        <v>89</v>
      </c>
    </row>
    <row r="23" spans="1:3" x14ac:dyDescent="0.25">
      <c r="A23" s="19" t="s">
        <v>62</v>
      </c>
      <c r="B23" s="20" t="s">
        <v>41</v>
      </c>
      <c r="C23" s="20" t="s">
        <v>90</v>
      </c>
    </row>
    <row r="24" spans="1:3" x14ac:dyDescent="0.25">
      <c r="A24" s="19" t="s">
        <v>63</v>
      </c>
      <c r="B24" s="20" t="s">
        <v>73</v>
      </c>
      <c r="C24" s="20" t="s">
        <v>91</v>
      </c>
    </row>
    <row r="25" spans="1:3" x14ac:dyDescent="0.25">
      <c r="A25" s="19" t="s">
        <v>64</v>
      </c>
      <c r="B25" s="20" t="s">
        <v>74</v>
      </c>
      <c r="C25" s="20" t="s">
        <v>92</v>
      </c>
    </row>
    <row r="26" spans="1:3" x14ac:dyDescent="0.25">
      <c r="A26" s="19" t="s">
        <v>65</v>
      </c>
      <c r="B26" s="20" t="s">
        <v>41</v>
      </c>
      <c r="C26" s="20" t="s">
        <v>90</v>
      </c>
    </row>
    <row r="27" spans="1:3" x14ac:dyDescent="0.25">
      <c r="A27" s="19" t="s">
        <v>66</v>
      </c>
      <c r="B27" s="20" t="s">
        <v>73</v>
      </c>
      <c r="C27" s="20" t="s">
        <v>91</v>
      </c>
    </row>
    <row r="28" spans="1:3" x14ac:dyDescent="0.25">
      <c r="A28" s="19" t="s">
        <v>67</v>
      </c>
      <c r="B28" s="20" t="s">
        <v>74</v>
      </c>
      <c r="C28" s="20" t="s">
        <v>92</v>
      </c>
    </row>
    <row r="29" spans="1:3" x14ac:dyDescent="0.25">
      <c r="A29" s="19" t="s">
        <v>68</v>
      </c>
      <c r="B29" s="20" t="s">
        <v>41</v>
      </c>
      <c r="C29" s="20" t="s">
        <v>93</v>
      </c>
    </row>
    <row r="30" spans="1:3" x14ac:dyDescent="0.25">
      <c r="A30" s="19" t="s">
        <v>69</v>
      </c>
      <c r="B30" s="20" t="s">
        <v>73</v>
      </c>
      <c r="C30" s="20" t="s">
        <v>94</v>
      </c>
    </row>
    <row r="31" spans="1:3" x14ac:dyDescent="0.25">
      <c r="A31" s="19" t="s">
        <v>70</v>
      </c>
      <c r="B31" s="20" t="s">
        <v>74</v>
      </c>
      <c r="C31" s="20" t="s">
        <v>95</v>
      </c>
    </row>
    <row r="32" spans="1:3" x14ac:dyDescent="0.25">
      <c r="A32" s="19" t="s">
        <v>71</v>
      </c>
      <c r="B32" s="20" t="s">
        <v>41</v>
      </c>
      <c r="C32" s="20" t="s">
        <v>93</v>
      </c>
    </row>
    <row r="33" spans="1:3" x14ac:dyDescent="0.25">
      <c r="A33" s="19" t="s">
        <v>72</v>
      </c>
      <c r="B33" s="20" t="s">
        <v>73</v>
      </c>
      <c r="C33" s="20" t="s">
        <v>94</v>
      </c>
    </row>
    <row r="34" spans="1:3" s="1" customFormat="1" x14ac:dyDescent="0.25">
      <c r="A34"/>
      <c r="B34"/>
      <c r="C34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得獎名單</vt:lpstr>
      <vt:lpstr>系統設定</vt:lpstr>
      <vt:lpstr>人員名單資料庫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鄭卉珊 RebeccaCheng</dc:creator>
  <cp:lastModifiedBy>張詠翔 Elliott Chang</cp:lastModifiedBy>
  <cp:lastPrinted>2025-11-20T06:13:52Z</cp:lastPrinted>
  <dcterms:created xsi:type="dcterms:W3CDTF">2025-11-20T06:23:30Z</dcterms:created>
  <dcterms:modified xsi:type="dcterms:W3CDTF">2026-01-07T04:04:05Z</dcterms:modified>
</cp:coreProperties>
</file>